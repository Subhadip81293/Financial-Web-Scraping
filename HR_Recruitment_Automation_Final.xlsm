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120" windowWidth="19980" windowHeight="11760" activeTab="1" autoFilterDateGrouping="0"/>
  </bookViews>
  <sheets>
    <sheet name="JOB_LISTING" sheetId="1" r:id="rId1"/>
    <sheet name="INTERVIEWS" sheetId="4" r:id="rId2"/>
  </sheets>
  <externalReferences>
    <externalReference r:id="rId3"/>
  </externalReferences>
  <calcPr calcId="124519"/>
  <pivotCaches>
    <pivotCache cacheId="0" r:id="rId4"/>
  </pivotCaches>
</workbook>
</file>

<file path=xl/calcChain.xml><?xml version="1.0" encoding="utf-8"?>
<calcChain xmlns="http://schemas.openxmlformats.org/spreadsheetml/2006/main">
  <c r="F10" i="1"/>
  <c r="S4" i="4"/>
  <c r="S5"/>
  <c r="S6"/>
  <c r="S7"/>
  <c r="S8"/>
  <c r="S3"/>
  <c r="U3" s="1"/>
  <c r="F4"/>
  <c r="G4"/>
  <c r="O4" s="1"/>
  <c r="F5"/>
  <c r="G5"/>
  <c r="O5" s="1"/>
  <c r="F6"/>
  <c r="G6"/>
  <c r="O6" s="1"/>
  <c r="F7"/>
  <c r="G7"/>
  <c r="F8"/>
  <c r="G8"/>
  <c r="G3"/>
  <c r="F3"/>
  <c r="R8" s="1"/>
  <c r="T8" s="1"/>
  <c r="B3" i="1"/>
  <c r="B4" s="1"/>
  <c r="B5" s="1"/>
  <c r="B6" s="1"/>
  <c r="B7" s="1"/>
  <c r="B8" s="1"/>
  <c r="B9" s="1"/>
  <c r="R7" i="4" l="1"/>
  <c r="T7" s="1"/>
  <c r="R5"/>
  <c r="T5" s="1"/>
  <c r="R6"/>
  <c r="R4"/>
  <c r="R3"/>
  <c r="Q8"/>
  <c r="O3"/>
  <c r="Q7"/>
  <c r="Q3"/>
  <c r="U6"/>
  <c r="U4"/>
  <c r="U5"/>
  <c r="O8"/>
  <c r="U7"/>
  <c r="Q4"/>
  <c r="U8"/>
  <c r="O7"/>
  <c r="Q5"/>
  <c r="Q6"/>
  <c r="T6" l="1"/>
  <c r="T4"/>
  <c r="T3"/>
</calcChain>
</file>

<file path=xl/sharedStrings.xml><?xml version="1.0" encoding="utf-8"?>
<sst xmlns="http://schemas.openxmlformats.org/spreadsheetml/2006/main" count="158" uniqueCount="53">
  <si>
    <t>Req ID</t>
  </si>
  <si>
    <t>Req Start Date</t>
  </si>
  <si>
    <t>Department</t>
  </si>
  <si>
    <t>Designation</t>
  </si>
  <si>
    <t>Planned Hires</t>
  </si>
  <si>
    <t>Operations</t>
  </si>
  <si>
    <t>Sr Manager</t>
  </si>
  <si>
    <t>Finance</t>
  </si>
  <si>
    <t>VP</t>
  </si>
  <si>
    <t>Manager</t>
  </si>
  <si>
    <t>Sales</t>
  </si>
  <si>
    <t>Executive</t>
  </si>
  <si>
    <t>Candidate Name</t>
  </si>
  <si>
    <t>Email</t>
  </si>
  <si>
    <t>Qualification</t>
  </si>
  <si>
    <t>Last CTC</t>
  </si>
  <si>
    <t>Total Experience</t>
  </si>
  <si>
    <t>Offer Date</t>
  </si>
  <si>
    <t>Joining Date</t>
  </si>
  <si>
    <t>Status</t>
  </si>
  <si>
    <t>CTC Offered</t>
  </si>
  <si>
    <t>Current Designation</t>
  </si>
  <si>
    <t>Current Company</t>
  </si>
  <si>
    <t>No of Hires/Department</t>
  </si>
  <si>
    <t>ADIDAS07</t>
  </si>
  <si>
    <t>ABB</t>
  </si>
  <si>
    <t>SENIOR ENGINEER</t>
  </si>
  <si>
    <t>BUSINESS ANALYST</t>
  </si>
  <si>
    <t>subhadipdas2008@gmail.com</t>
  </si>
  <si>
    <t>BTECH</t>
  </si>
  <si>
    <t>SUBHADIP DAS</t>
  </si>
  <si>
    <t>[CTC*Experience]</t>
  </si>
  <si>
    <t>Overall_Rank</t>
  </si>
  <si>
    <t>Category_wise_Rank</t>
  </si>
  <si>
    <t>Departments</t>
  </si>
  <si>
    <t>Designation_Applied</t>
  </si>
  <si>
    <t>Department_Applied</t>
  </si>
  <si>
    <t>Hire</t>
  </si>
  <si>
    <t>Row Labels</t>
  </si>
  <si>
    <t>Grand Total</t>
  </si>
  <si>
    <t>Count of No of Hires/Department</t>
  </si>
  <si>
    <t>ERICSSON</t>
  </si>
  <si>
    <t>L&amp;T</t>
  </si>
  <si>
    <t>R&amp;D</t>
  </si>
  <si>
    <t>Operations-Sr Manager</t>
  </si>
  <si>
    <t>Finance-VP</t>
  </si>
  <si>
    <t>Finance-Manager</t>
  </si>
  <si>
    <t>Sales-Executive</t>
  </si>
  <si>
    <t>Sales-Manager</t>
  </si>
  <si>
    <t>Department-Designation</t>
  </si>
  <si>
    <t>No of Hires/Designation</t>
  </si>
  <si>
    <t>Count of Department-Designation</t>
  </si>
  <si>
    <t>Column Labels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</si>
</sst>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sz val="9"/>
      <color theme="1"/>
      <name val="Segoe UI"/>
      <family val="2"/>
    </font>
    <font>
      <b/>
      <sz val="9"/>
      <color theme="1"/>
      <name val="Segoe UI"/>
      <family val="2"/>
    </font>
    <font>
      <sz val="9"/>
      <color theme="1"/>
      <name val="Segoe UI"/>
    </font>
    <font>
      <b/>
      <sz val="9"/>
      <color theme="1"/>
      <name val="Segoe UI"/>
    </font>
    <font>
      <u/>
      <sz val="11"/>
      <color theme="1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6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43">
    <xf numFmtId="0" fontId="0" fillId="0" borderId="0" xfId="0"/>
    <xf numFmtId="15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NumberFormat="1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1" fillId="3" borderId="1" xfId="0" applyNumberFormat="1" applyFont="1" applyFill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3" fillId="3" borderId="1" xfId="0" applyNumberFormat="1" applyFont="1" applyFill="1" applyBorder="1" applyAlignment="1">
      <alignment horizontal="center"/>
    </xf>
    <xf numFmtId="0" fontId="5" fillId="0" borderId="1" xfId="1" applyBorder="1" applyAlignment="1" applyProtection="1">
      <alignment horizontal="center"/>
    </xf>
    <xf numFmtId="0" fontId="1" fillId="7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6" borderId="1" xfId="0" applyFill="1" applyBorder="1" applyAlignment="1">
      <alignment horizontal="center"/>
    </xf>
    <xf numFmtId="20" fontId="0" fillId="6" borderId="1" xfId="0" applyNumberFormat="1" applyFill="1" applyBorder="1" applyAlignment="1">
      <alignment horizontal="center"/>
    </xf>
    <xf numFmtId="0" fontId="0" fillId="0" borderId="0" xfId="0" applyAlignment="1"/>
    <xf numFmtId="0" fontId="1" fillId="3" borderId="1" xfId="0" applyFont="1" applyFill="1" applyBorder="1" applyAlignment="1"/>
    <xf numFmtId="0" fontId="0" fillId="0" borderId="1" xfId="0" applyBorder="1" applyAlignment="1"/>
    <xf numFmtId="0" fontId="0" fillId="5" borderId="0" xfId="0" applyFill="1" applyAlignment="1"/>
    <xf numFmtId="20" fontId="0" fillId="0" borderId="0" xfId="0" applyNumberFormat="1" applyAlignment="1"/>
    <xf numFmtId="0" fontId="0" fillId="3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15" fontId="3" fillId="0" borderId="1" xfId="0" applyNumberFormat="1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pivotSource>
    <c:name>[HR_Recruitment_Automation_Final.xlsm]JOB_LISTING!PivotTable2</c:name>
    <c:fmtId val="0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  <c:pivotFmt>
        <c:idx val="3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7.2238568863102634E-2"/>
          <c:y val="5.1400554097404488E-2"/>
          <c:w val="0.90363862411935358"/>
          <c:h val="0.58265201224846908"/>
        </c:manualLayout>
      </c:layout>
      <c:barChart>
        <c:barDir val="col"/>
        <c:grouping val="stacked"/>
        <c:ser>
          <c:idx val="0"/>
          <c:order val="0"/>
          <c:tx>
            <c:strRef>
              <c:f>JOB_LISTING!$M$13:$M$14</c:f>
              <c:strCache>
                <c:ptCount val="1"/>
                <c:pt idx="0">
                  <c:v>Finance-Manager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multiLvlStrRef>
              <c:f>JOB_LISTING!$L$15:$L$22</c:f>
              <c:multiLvlStrCache>
                <c:ptCount val="4"/>
                <c:lvl>
                  <c:pt idx="0">
                    <c:v>Manager</c:v>
                  </c:pt>
                  <c:pt idx="1">
                    <c:v>VP</c:v>
                  </c:pt>
                  <c:pt idx="2">
                    <c:v>Sr Manager</c:v>
                  </c:pt>
                  <c:pt idx="3">
                    <c:v>Executive</c:v>
                  </c:pt>
                </c:lvl>
                <c:lvl>
                  <c:pt idx="0">
                    <c:v>Finance</c:v>
                  </c:pt>
                  <c:pt idx="2">
                    <c:v>Operations</c:v>
                  </c:pt>
                  <c:pt idx="3">
                    <c:v>Sales</c:v>
                  </c:pt>
                </c:lvl>
              </c:multiLvlStrCache>
            </c:multiLvlStrRef>
          </c:cat>
          <c:val>
            <c:numRef>
              <c:f>JOB_LISTING!$M$15:$M$22</c:f>
              <c:numCache>
                <c:formatCode>General</c:formatCode>
                <c:ptCount val="4"/>
                <c:pt idx="0">
                  <c:v>2</c:v>
                </c:pt>
              </c:numCache>
            </c:numRef>
          </c:val>
        </c:ser>
        <c:ser>
          <c:idx val="1"/>
          <c:order val="1"/>
          <c:tx>
            <c:strRef>
              <c:f>JOB_LISTING!$N$13:$N$14</c:f>
              <c:strCache>
                <c:ptCount val="1"/>
                <c:pt idx="0">
                  <c:v>Finance-VP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multiLvlStrRef>
              <c:f>JOB_LISTING!$L$15:$L$22</c:f>
              <c:multiLvlStrCache>
                <c:ptCount val="4"/>
                <c:lvl>
                  <c:pt idx="0">
                    <c:v>Manager</c:v>
                  </c:pt>
                  <c:pt idx="1">
                    <c:v>VP</c:v>
                  </c:pt>
                  <c:pt idx="2">
                    <c:v>Sr Manager</c:v>
                  </c:pt>
                  <c:pt idx="3">
                    <c:v>Executive</c:v>
                  </c:pt>
                </c:lvl>
                <c:lvl>
                  <c:pt idx="0">
                    <c:v>Finance</c:v>
                  </c:pt>
                  <c:pt idx="2">
                    <c:v>Operations</c:v>
                  </c:pt>
                  <c:pt idx="3">
                    <c:v>Sales</c:v>
                  </c:pt>
                </c:lvl>
              </c:multiLvlStrCache>
            </c:multiLvlStrRef>
          </c:cat>
          <c:val>
            <c:numRef>
              <c:f>JOB_LISTING!$N$15:$N$22</c:f>
              <c:numCache>
                <c:formatCode>General</c:formatCode>
                <c:ptCount val="4"/>
                <c:pt idx="1">
                  <c:v>1</c:v>
                </c:pt>
              </c:numCache>
            </c:numRef>
          </c:val>
        </c:ser>
        <c:ser>
          <c:idx val="2"/>
          <c:order val="2"/>
          <c:tx>
            <c:strRef>
              <c:f>JOB_LISTING!$O$13:$O$14</c:f>
              <c:strCache>
                <c:ptCount val="1"/>
                <c:pt idx="0">
                  <c:v>Operations-Sr Manager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multiLvlStrRef>
              <c:f>JOB_LISTING!$L$15:$L$22</c:f>
              <c:multiLvlStrCache>
                <c:ptCount val="4"/>
                <c:lvl>
                  <c:pt idx="0">
                    <c:v>Manager</c:v>
                  </c:pt>
                  <c:pt idx="1">
                    <c:v>VP</c:v>
                  </c:pt>
                  <c:pt idx="2">
                    <c:v>Sr Manager</c:v>
                  </c:pt>
                  <c:pt idx="3">
                    <c:v>Executive</c:v>
                  </c:pt>
                </c:lvl>
                <c:lvl>
                  <c:pt idx="0">
                    <c:v>Finance</c:v>
                  </c:pt>
                  <c:pt idx="2">
                    <c:v>Operations</c:v>
                  </c:pt>
                  <c:pt idx="3">
                    <c:v>Sales</c:v>
                  </c:pt>
                </c:lvl>
              </c:multiLvlStrCache>
            </c:multiLvlStrRef>
          </c:cat>
          <c:val>
            <c:numRef>
              <c:f>JOB_LISTING!$O$15:$O$22</c:f>
              <c:numCache>
                <c:formatCode>General</c:formatCode>
                <c:ptCount val="4"/>
                <c:pt idx="2">
                  <c:v>2</c:v>
                </c:pt>
              </c:numCache>
            </c:numRef>
          </c:val>
        </c:ser>
        <c:ser>
          <c:idx val="3"/>
          <c:order val="3"/>
          <c:tx>
            <c:strRef>
              <c:f>JOB_LISTING!$P$13:$P$14</c:f>
              <c:strCache>
                <c:ptCount val="1"/>
                <c:pt idx="0">
                  <c:v>Sales-Executive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Val val="1"/>
          </c:dLbls>
          <c:cat>
            <c:multiLvlStrRef>
              <c:f>JOB_LISTING!$L$15:$L$22</c:f>
              <c:multiLvlStrCache>
                <c:ptCount val="4"/>
                <c:lvl>
                  <c:pt idx="0">
                    <c:v>Manager</c:v>
                  </c:pt>
                  <c:pt idx="1">
                    <c:v>VP</c:v>
                  </c:pt>
                  <c:pt idx="2">
                    <c:v>Sr Manager</c:v>
                  </c:pt>
                  <c:pt idx="3">
                    <c:v>Executive</c:v>
                  </c:pt>
                </c:lvl>
                <c:lvl>
                  <c:pt idx="0">
                    <c:v>Finance</c:v>
                  </c:pt>
                  <c:pt idx="2">
                    <c:v>Operations</c:v>
                  </c:pt>
                  <c:pt idx="3">
                    <c:v>Sales</c:v>
                  </c:pt>
                </c:lvl>
              </c:multiLvlStrCache>
            </c:multiLvlStrRef>
          </c:cat>
          <c:val>
            <c:numRef>
              <c:f>JOB_LISTING!$P$15:$P$22</c:f>
              <c:numCache>
                <c:formatCode>General</c:formatCode>
                <c:ptCount val="4"/>
                <c:pt idx="3">
                  <c:v>1</c:v>
                </c:pt>
              </c:numCache>
            </c:numRef>
          </c:val>
        </c:ser>
        <c:overlap val="100"/>
        <c:axId val="103513088"/>
        <c:axId val="65962752"/>
      </c:barChart>
      <c:catAx>
        <c:axId val="103513088"/>
        <c:scaling>
          <c:orientation val="minMax"/>
        </c:scaling>
        <c:axPos val="b"/>
        <c:tickLblPos val="nextTo"/>
        <c:crossAx val="65962752"/>
        <c:crosses val="autoZero"/>
        <c:auto val="1"/>
        <c:lblAlgn val="ctr"/>
        <c:lblOffset val="100"/>
      </c:catAx>
      <c:valAx>
        <c:axId val="65962752"/>
        <c:scaling>
          <c:orientation val="minMax"/>
        </c:scaling>
        <c:axPos val="l"/>
        <c:majorGridlines/>
        <c:numFmt formatCode="General" sourceLinked="1"/>
        <c:tickLblPos val="nextTo"/>
        <c:crossAx val="103513088"/>
        <c:crosses val="autoZero"/>
        <c:crossBetween val="between"/>
      </c:valAx>
      <c:spPr>
        <a:blipFill dpi="0" rotWithShape="1">
          <a:blip xmlns:r="http://schemas.openxmlformats.org/officeDocument/2006/relationships" r:embed="rId1"/>
          <a:srcRect/>
          <a:tile tx="0" ty="0" sx="100000" sy="100000" flip="xy" algn="tl"/>
        </a:blipFill>
        <a:ln w="12700">
          <a:solidFill>
            <a:schemeClr val="accent1"/>
          </a:solidFill>
        </a:ln>
      </c:spPr>
    </c:plotArea>
    <c:legend>
      <c:legendPos val="b"/>
      <c:layout/>
    </c:legend>
    <c:plotVisOnly val="1"/>
  </c:chart>
  <c:spPr>
    <a:blipFill>
      <a:blip xmlns:r="http://schemas.openxmlformats.org/officeDocument/2006/relationships" r:embed="rId1"/>
      <a:tile tx="0" ty="0" sx="100000" sy="100000" flip="none" algn="tl"/>
    </a:blipFill>
    <a:ln w="12700"/>
  </c:sp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2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11</xdr:row>
      <xdr:rowOff>171450</xdr:rowOff>
    </xdr:from>
    <xdr:to>
      <xdr:col>10</xdr:col>
      <xdr:colOff>209550</xdr:colOff>
      <xdr:row>37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19050</xdr:colOff>
      <xdr:row>2</xdr:row>
      <xdr:rowOff>57149</xdr:rowOff>
    </xdr:from>
    <xdr:to>
      <xdr:col>22</xdr:col>
      <xdr:colOff>68175</xdr:colOff>
      <xdr:row>8</xdr:row>
      <xdr:rowOff>138149</xdr:rowOff>
    </xdr:to>
    <xdr:sp macro="[1]!Macro1" textlink="">
      <xdr:nvSpPr>
        <xdr:cNvPr id="3" name="Rounded Rectangle 2"/>
        <xdr:cNvSpPr/>
      </xdr:nvSpPr>
      <xdr:spPr>
        <a:xfrm>
          <a:off x="6724650" y="438149"/>
          <a:ext cx="3240000" cy="122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800" b="1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REGISTRATION</a:t>
          </a:r>
          <a:endParaRPr lang="en-IN" sz="18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0.26316</cdr:x>
      <cdr:y>0.06571</cdr:y>
    </cdr:from>
    <cdr:to>
      <cdr:x>0.81908</cdr:x>
      <cdr:y>0.16857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524000" y="219075"/>
          <a:ext cx="3219449" cy="342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1600"/>
            <a:t>Department-Designation</a:t>
          </a:r>
          <a:r>
            <a:rPr lang="en-IN" sz="1600" baseline="0"/>
            <a:t> vs Count</a:t>
          </a:r>
          <a:endParaRPr lang="en-IN" sz="16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R_Recruitment_Automatio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JOB_LISTING"/>
      <sheetName val="INTERVIEWS"/>
    </sheetNames>
    <definedNames>
      <definedName name="Macro1"/>
    </definedNames>
    <sheetDataSet>
      <sheetData sheetId="0"/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min" refreshedDate="43900.797504166665" createdVersion="3" refreshedVersion="3" minRefreshableVersion="3" recordCount="87">
  <cacheSource type="worksheet">
    <worksheetSource ref="A2:U800" sheet="INTERVIEWS"/>
  </cacheSource>
  <cacheFields count="21">
    <cacheField name="Req ID" numFmtId="0">
      <sharedItems containsBlank="1" containsMixedTypes="1" containsNumber="1" containsInteger="1" minValue="1" maxValue="7"/>
    </cacheField>
    <cacheField name="Candidate Name" numFmtId="0">
      <sharedItems containsDate="1" containsBlank="1" containsMixedTypes="1" minDate="1899-12-30T05:01:00" maxDate="1899-12-30T05:01:00"/>
    </cacheField>
    <cacheField name="Current Company" numFmtId="0">
      <sharedItems containsBlank="1"/>
    </cacheField>
    <cacheField name="Current Designation" numFmtId="0">
      <sharedItems containsBlank="1"/>
    </cacheField>
    <cacheField name="Department" numFmtId="0">
      <sharedItems containsBlank="1"/>
    </cacheField>
    <cacheField name="Designation_Applied" numFmtId="0">
      <sharedItems containsBlank="1" count="7">
        <s v="Sr Manager"/>
        <s v="VP"/>
        <s v="Manager"/>
        <s v="Executive"/>
        <m/>
        <s v="Designation_Applied"/>
        <s v="Sales"/>
      </sharedItems>
    </cacheField>
    <cacheField name="Department_Applied" numFmtId="0">
      <sharedItems containsBlank="1" count="7">
        <s v="Operations"/>
        <s v="Finance"/>
        <s v="Sales"/>
        <m/>
        <s v="Department_Applied"/>
        <s v="Executive"/>
        <s v="Manager"/>
      </sharedItems>
    </cacheField>
    <cacheField name="Email" numFmtId="0">
      <sharedItems containsBlank="1"/>
    </cacheField>
    <cacheField name="Qualification" numFmtId="0">
      <sharedItems containsBlank="1"/>
    </cacheField>
    <cacheField name="Last CTC" numFmtId="0">
      <sharedItems containsString="0" containsBlank="1" containsNumber="1" containsInteger="1" minValue="11" maxValue="50"/>
    </cacheField>
    <cacheField name="Total Experience" numFmtId="0">
      <sharedItems containsString="0" containsBlank="1" containsNumber="1" containsInteger="1" minValue="4" maxValue="7"/>
    </cacheField>
    <cacheField name="Offer Date" numFmtId="0">
      <sharedItems containsNonDate="0" containsDate="1" containsString="0" containsBlank="1" minDate="1993-12-08T00:00:00" maxDate="2020-03-11T00:00:00"/>
    </cacheField>
    <cacheField name="Joining Date" numFmtId="0">
      <sharedItems containsNonDate="0" containsDate="1" containsString="0" containsBlank="1" minDate="1998-12-08T00:00:00" maxDate="2020-07-28T00:00:00"/>
    </cacheField>
    <cacheField name="Status" numFmtId="0">
      <sharedItems containsNonDate="0" containsString="0" containsBlank="1"/>
    </cacheField>
    <cacheField name="Department-Designation" numFmtId="0">
      <sharedItems containsBlank="1" count="5">
        <s v="Operations-Sr Manager"/>
        <s v="Finance-VP"/>
        <s v="Finance-Manager"/>
        <s v="Sales-Executive"/>
        <m/>
      </sharedItems>
    </cacheField>
    <cacheField name="CTC Offered" numFmtId="0">
      <sharedItems containsString="0" containsBlank="1" containsNumber="1" containsInteger="1" minValue="10" maxValue="10"/>
    </cacheField>
    <cacheField name="No of Hires/Department" numFmtId="0">
      <sharedItems containsString="0" containsBlank="1" containsNumber="1" containsInteger="1" minValue="1" maxValue="3"/>
    </cacheField>
    <cacheField name="No of Hires/Designation" numFmtId="0">
      <sharedItems containsString="0" containsBlank="1" containsNumber="1" containsInteger="1" minValue="1" maxValue="2"/>
    </cacheField>
    <cacheField name="[CTC*Experience]" numFmtId="0">
      <sharedItems containsString="0" containsBlank="1" containsNumber="1" containsInteger="1" minValue="44" maxValue="250"/>
    </cacheField>
    <cacheField name="Category_wise_Rank" numFmtId="0">
      <sharedItems containsString="0" containsBlank="1" containsNumber="1" containsInteger="1" minValue="1" maxValue="4"/>
    </cacheField>
    <cacheField name="Overall_Rank" numFmtId="0">
      <sharedItems containsString="0" containsBlank="1" containsNumber="1" containsInteger="1" minValue="1" maxValue="6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7">
  <r>
    <n v="1"/>
    <s v="SUBHADIP DAS"/>
    <s v="ABB"/>
    <s v="BUSINESS ANALYST"/>
    <s v="R&amp;D"/>
    <x v="0"/>
    <x v="0"/>
    <s v="subhadipdas2008@gmail.com"/>
    <s v="BTECH"/>
    <n v="15"/>
    <n v="5"/>
    <d v="1993-12-08T00:00:00"/>
    <d v="1999-12-11T00:00:00"/>
    <m/>
    <x v="0"/>
    <n v="10"/>
    <n v="2"/>
    <n v="2"/>
    <n v="75"/>
    <n v="1"/>
    <n v="4"/>
  </r>
  <r>
    <n v="2"/>
    <s v="ADIDAS07"/>
    <s v="L&amp;T"/>
    <s v="SENIOR ENGINEER"/>
    <s v="R&amp;D"/>
    <x v="1"/>
    <x v="1"/>
    <s v="subhadipdas2008@gmail.com"/>
    <s v="BTECH"/>
    <n v="30"/>
    <n v="7"/>
    <d v="2020-03-10T00:00:00"/>
    <d v="2020-03-20T00:00:00"/>
    <m/>
    <x v="1"/>
    <n v="10"/>
    <n v="3"/>
    <n v="1"/>
    <n v="210"/>
    <n v="4"/>
    <n v="2"/>
  </r>
  <r>
    <n v="3"/>
    <s v="ADIDAS07"/>
    <s v="ERICSSON"/>
    <s v="BUSINESS ANALYST"/>
    <s v="R&amp;D"/>
    <x v="2"/>
    <x v="1"/>
    <s v="subhadipdas2008@gmail.com"/>
    <s v="BTECH"/>
    <n v="50"/>
    <n v="5"/>
    <d v="2020-03-10T00:00:00"/>
    <d v="2020-07-27T00:00:00"/>
    <m/>
    <x v="2"/>
    <n v="10"/>
    <n v="3"/>
    <n v="2"/>
    <n v="250"/>
    <n v="1"/>
    <n v="1"/>
  </r>
  <r>
    <n v="7"/>
    <s v="SUBHADIP DAS"/>
    <s v="L&amp;T"/>
    <s v="BUSINESS ANALYST"/>
    <s v="Operations"/>
    <x v="3"/>
    <x v="2"/>
    <s v="subhadipdas2008@gmail.com"/>
    <s v="BTECH"/>
    <n v="11"/>
    <n v="4"/>
    <d v="1993-12-08T00:00:00"/>
    <d v="1998-12-08T00:00:00"/>
    <m/>
    <x v="3"/>
    <n v="10"/>
    <n v="1"/>
    <n v="1"/>
    <n v="44"/>
    <n v="3"/>
    <n v="6"/>
  </r>
  <r>
    <n v="4"/>
    <s v="SUBHADIP DAS"/>
    <s v="ABB"/>
    <s v="BUSINESS ANALYST"/>
    <s v="Operations"/>
    <x v="2"/>
    <x v="1"/>
    <s v="subhadipdas2008@gmail.com"/>
    <s v="BTECH"/>
    <n v="15"/>
    <n v="5"/>
    <d v="2020-03-10T00:00:00"/>
    <d v="2020-02-01T00:00:00"/>
    <m/>
    <x v="2"/>
    <n v="10"/>
    <n v="3"/>
    <n v="2"/>
    <n v="75"/>
    <n v="1"/>
    <n v="4"/>
  </r>
  <r>
    <n v="1"/>
    <s v="SUBHADIP DAS"/>
    <s v="ABB"/>
    <s v="BUSINESS ANALYST"/>
    <s v="Operations"/>
    <x v="0"/>
    <x v="0"/>
    <s v="subhadipdas2008@gmail.com"/>
    <s v="BTECH"/>
    <n v="25"/>
    <n v="6"/>
    <d v="2020-03-10T00:00:00"/>
    <d v="2020-05-10T00:00:00"/>
    <m/>
    <x v="0"/>
    <n v="10"/>
    <n v="2"/>
    <n v="2"/>
    <n v="150"/>
    <n v="1"/>
    <n v="3"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  <r>
    <s v="Hire"/>
    <d v="1899-12-30T05:01:00"/>
    <m/>
    <m/>
    <m/>
    <x v="4"/>
    <x v="3"/>
    <m/>
    <m/>
    <m/>
    <m/>
    <m/>
    <m/>
    <m/>
    <x v="4"/>
    <m/>
    <m/>
    <m/>
    <m/>
    <m/>
    <m/>
  </r>
  <r>
    <s v="Req ID"/>
    <s v="Candidate Name"/>
    <s v="Current Company"/>
    <s v="Current Designation"/>
    <s v="Department"/>
    <x v="5"/>
    <x v="4"/>
    <m/>
    <m/>
    <m/>
    <m/>
    <m/>
    <m/>
    <m/>
    <x v="4"/>
    <m/>
    <m/>
    <m/>
    <m/>
    <m/>
    <m/>
  </r>
  <r>
    <n v="1"/>
    <s v="SUBHADIP DAS"/>
    <s v="ABB"/>
    <s v="BUSINESS ANALYST"/>
    <s v="R&amp;D"/>
    <x v="6"/>
    <x v="5"/>
    <m/>
    <m/>
    <m/>
    <m/>
    <m/>
    <m/>
    <m/>
    <x v="4"/>
    <m/>
    <m/>
    <m/>
    <m/>
    <m/>
    <m/>
  </r>
  <r>
    <n v="2"/>
    <s v="ADIDAS07"/>
    <s v="L&amp;T"/>
    <s v="SENIOR ENGINEER"/>
    <s v="R&amp;D"/>
    <x v="6"/>
    <x v="5"/>
    <m/>
    <m/>
    <m/>
    <m/>
    <m/>
    <m/>
    <m/>
    <x v="4"/>
    <m/>
    <m/>
    <m/>
    <m/>
    <m/>
    <m/>
  </r>
  <r>
    <n v="3"/>
    <s v="ADIDAS07"/>
    <s v="ERICSSON"/>
    <s v="BUSINESS ANALYST"/>
    <s v="R&amp;D"/>
    <x v="6"/>
    <x v="6"/>
    <m/>
    <m/>
    <m/>
    <m/>
    <m/>
    <m/>
    <m/>
    <x v="4"/>
    <m/>
    <m/>
    <m/>
    <m/>
    <m/>
    <m/>
  </r>
  <r>
    <n v="7"/>
    <s v="SUBHADIP DAS"/>
    <s v="L&amp;T"/>
    <s v="BUSINESS ANALYST"/>
    <s v="Operations"/>
    <x v="6"/>
    <x v="5"/>
    <m/>
    <m/>
    <m/>
    <m/>
    <m/>
    <m/>
    <m/>
    <x v="4"/>
    <m/>
    <m/>
    <m/>
    <m/>
    <m/>
    <m/>
  </r>
  <r>
    <n v="4"/>
    <s v="SUBHADIP DAS"/>
    <s v="ABB"/>
    <s v="BUSINESS ANALYST"/>
    <s v="Operations"/>
    <x v="6"/>
    <x v="5"/>
    <m/>
    <m/>
    <m/>
    <m/>
    <m/>
    <m/>
    <m/>
    <x v="4"/>
    <m/>
    <m/>
    <m/>
    <m/>
    <m/>
    <m/>
  </r>
  <r>
    <m/>
    <m/>
    <m/>
    <m/>
    <m/>
    <x v="4"/>
    <x v="3"/>
    <m/>
    <m/>
    <m/>
    <m/>
    <m/>
    <m/>
    <m/>
    <x v="4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>
  <location ref="L13:Q22" firstHeaderRow="1" firstDataRow="2" firstDataCol="1"/>
  <pivotFields count="21">
    <pivotField showAll="0"/>
    <pivotField showAll="0"/>
    <pivotField showAll="0"/>
    <pivotField showAll="0"/>
    <pivotField showAll="0"/>
    <pivotField axis="axisRow" showAll="0">
      <items count="8">
        <item x="5"/>
        <item x="3"/>
        <item x="2"/>
        <item x="6"/>
        <item x="0"/>
        <item x="1"/>
        <item h="1" x="4"/>
        <item t="default"/>
      </items>
    </pivotField>
    <pivotField axis="axisRow" showAll="0">
      <items count="8">
        <item x="4"/>
        <item x="5"/>
        <item x="1"/>
        <item x="6"/>
        <item x="0"/>
        <item x="2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2"/>
        <item x="1"/>
        <item x="0"/>
        <item x="3"/>
        <item h="1" x="4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2">
    <field x="6"/>
    <field x="5"/>
  </rowFields>
  <rowItems count="8">
    <i>
      <x v="2"/>
    </i>
    <i r="1">
      <x v="2"/>
    </i>
    <i r="1">
      <x v="5"/>
    </i>
    <i>
      <x v="4"/>
    </i>
    <i r="1">
      <x v="4"/>
    </i>
    <i>
      <x v="5"/>
    </i>
    <i r="1">
      <x v="1"/>
    </i>
    <i t="grand">
      <x/>
    </i>
  </rowItems>
  <colFields count="1">
    <field x="14"/>
  </colFields>
  <colItems count="5">
    <i>
      <x/>
    </i>
    <i>
      <x v="1"/>
    </i>
    <i>
      <x v="2"/>
    </i>
    <i>
      <x v="3"/>
    </i>
    <i t="grand">
      <x/>
    </i>
  </colItems>
  <dataFields count="1">
    <dataField name="Count of Department-Designation" fld="14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Q23"/>
  <sheetViews>
    <sheetView workbookViewId="0">
      <selection activeCell="I8" sqref="I8"/>
    </sheetView>
  </sheetViews>
  <sheetFormatPr defaultRowHeight="15"/>
  <cols>
    <col min="12" max="12" width="31.7109375" hidden="1" customWidth="1"/>
    <col min="13" max="13" width="16.5703125" hidden="1" customWidth="1"/>
    <col min="14" max="14" width="11" hidden="1" customWidth="1"/>
    <col min="15" max="15" width="22" hidden="1" customWidth="1"/>
    <col min="16" max="16" width="15" hidden="1" customWidth="1"/>
    <col min="17" max="17" width="11.28515625" hidden="1" customWidth="1"/>
    <col min="18" max="18" width="11.28515625" bestFit="1" customWidth="1"/>
  </cols>
  <sheetData>
    <row r="1" spans="2:17">
      <c r="B1" s="6" t="s">
        <v>0</v>
      </c>
      <c r="C1" s="6" t="s">
        <v>1</v>
      </c>
      <c r="D1" s="6" t="s">
        <v>2</v>
      </c>
      <c r="E1" s="6" t="s">
        <v>3</v>
      </c>
      <c r="F1" s="6" t="s">
        <v>4</v>
      </c>
    </row>
    <row r="2" spans="2:17">
      <c r="B2" s="2">
        <v>1</v>
      </c>
      <c r="C2" s="1">
        <v>43474</v>
      </c>
      <c r="D2" s="2" t="s">
        <v>5</v>
      </c>
      <c r="E2" s="2" t="s">
        <v>6</v>
      </c>
      <c r="F2" s="2">
        <v>1</v>
      </c>
    </row>
    <row r="3" spans="2:17">
      <c r="B3" s="2">
        <f>B2+1</f>
        <v>2</v>
      </c>
      <c r="C3" s="1">
        <v>43509</v>
      </c>
      <c r="D3" s="2" t="s">
        <v>7</v>
      </c>
      <c r="E3" s="2" t="s">
        <v>8</v>
      </c>
      <c r="F3" s="2">
        <v>1</v>
      </c>
    </row>
    <row r="4" spans="2:17">
      <c r="B4" s="2">
        <f t="shared" ref="B4:B9" si="0">B3+1</f>
        <v>3</v>
      </c>
      <c r="C4" s="1">
        <v>43554</v>
      </c>
      <c r="D4" s="2" t="s">
        <v>7</v>
      </c>
      <c r="E4" s="2" t="s">
        <v>9</v>
      </c>
      <c r="F4" s="2">
        <v>1</v>
      </c>
    </row>
    <row r="5" spans="2:17">
      <c r="B5" s="2">
        <f t="shared" si="0"/>
        <v>4</v>
      </c>
      <c r="C5" s="1">
        <v>43576</v>
      </c>
      <c r="D5" s="2" t="s">
        <v>7</v>
      </c>
      <c r="E5" s="2" t="s">
        <v>9</v>
      </c>
      <c r="F5" s="2">
        <v>1</v>
      </c>
    </row>
    <row r="6" spans="2:17">
      <c r="B6" s="2">
        <f t="shared" si="0"/>
        <v>5</v>
      </c>
      <c r="C6" s="1">
        <v>43657</v>
      </c>
      <c r="D6" s="2" t="s">
        <v>10</v>
      </c>
      <c r="E6" s="2" t="s">
        <v>11</v>
      </c>
      <c r="F6" s="2">
        <v>3</v>
      </c>
    </row>
    <row r="7" spans="2:17">
      <c r="B7" s="2">
        <f t="shared" si="0"/>
        <v>6</v>
      </c>
      <c r="C7" s="1">
        <v>43721</v>
      </c>
      <c r="D7" s="2" t="s">
        <v>10</v>
      </c>
      <c r="E7" s="2" t="s">
        <v>11</v>
      </c>
      <c r="F7" s="2">
        <v>3</v>
      </c>
    </row>
    <row r="8" spans="2:17">
      <c r="B8" s="2">
        <f t="shared" si="0"/>
        <v>7</v>
      </c>
      <c r="C8" s="1">
        <v>43744</v>
      </c>
      <c r="D8" s="2" t="s">
        <v>10</v>
      </c>
      <c r="E8" s="2" t="s">
        <v>11</v>
      </c>
      <c r="F8" s="2">
        <v>3</v>
      </c>
    </row>
    <row r="9" spans="2:17">
      <c r="B9" s="2">
        <f t="shared" si="0"/>
        <v>8</v>
      </c>
      <c r="C9" s="1">
        <v>43794</v>
      </c>
      <c r="D9" s="2" t="s">
        <v>10</v>
      </c>
      <c r="E9" s="2" t="s">
        <v>9</v>
      </c>
      <c r="F9" s="2">
        <v>2</v>
      </c>
    </row>
    <row r="10" spans="2:17">
      <c r="B10" s="7"/>
      <c r="C10" s="42"/>
      <c r="D10" s="7"/>
      <c r="E10" s="7"/>
      <c r="F10" s="23">
        <f>SUM(F2:F9)</f>
        <v>15</v>
      </c>
    </row>
    <row r="12" spans="2:17">
      <c r="L12" s="27"/>
    </row>
    <row r="13" spans="2:17">
      <c r="L13" s="26" t="s">
        <v>51</v>
      </c>
      <c r="M13" s="26" t="s">
        <v>52</v>
      </c>
    </row>
    <row r="14" spans="2:17">
      <c r="L14" s="26" t="s">
        <v>38</v>
      </c>
      <c r="M14" t="s">
        <v>46</v>
      </c>
      <c r="N14" t="s">
        <v>45</v>
      </c>
      <c r="O14" t="s">
        <v>44</v>
      </c>
      <c r="P14" t="s">
        <v>47</v>
      </c>
      <c r="Q14" t="s">
        <v>39</v>
      </c>
    </row>
    <row r="15" spans="2:17">
      <c r="L15" s="27" t="s">
        <v>7</v>
      </c>
      <c r="M15" s="29">
        <v>2</v>
      </c>
      <c r="N15" s="29">
        <v>1</v>
      </c>
      <c r="O15" s="29"/>
      <c r="P15" s="29"/>
      <c r="Q15" s="29">
        <v>3</v>
      </c>
    </row>
    <row r="16" spans="2:17" hidden="1">
      <c r="B16" s="26" t="s">
        <v>38</v>
      </c>
      <c r="C16" t="s">
        <v>40</v>
      </c>
      <c r="L16" s="28" t="s">
        <v>9</v>
      </c>
      <c r="M16" s="29">
        <v>2</v>
      </c>
      <c r="N16" s="29"/>
      <c r="O16" s="29"/>
      <c r="P16" s="29"/>
      <c r="Q16" s="29">
        <v>2</v>
      </c>
    </row>
    <row r="17" spans="2:17" hidden="1">
      <c r="B17" s="27" t="s">
        <v>7</v>
      </c>
      <c r="C17" s="29">
        <v>1</v>
      </c>
      <c r="L17" s="28" t="s">
        <v>8</v>
      </c>
      <c r="M17" s="29"/>
      <c r="N17" s="29">
        <v>1</v>
      </c>
      <c r="O17" s="29"/>
      <c r="P17" s="29"/>
      <c r="Q17" s="29">
        <v>1</v>
      </c>
    </row>
    <row r="18" spans="2:17" hidden="1">
      <c r="B18" s="28" t="s">
        <v>9</v>
      </c>
      <c r="C18" s="29">
        <v>1</v>
      </c>
      <c r="L18" s="27" t="s">
        <v>5</v>
      </c>
      <c r="M18" s="29"/>
      <c r="N18" s="29"/>
      <c r="O18" s="29">
        <v>2</v>
      </c>
      <c r="P18" s="29"/>
      <c r="Q18" s="29">
        <v>2</v>
      </c>
    </row>
    <row r="19" spans="2:17" hidden="1">
      <c r="B19" s="27" t="s">
        <v>5</v>
      </c>
      <c r="C19" s="29">
        <v>1</v>
      </c>
      <c r="L19" s="28" t="s">
        <v>6</v>
      </c>
      <c r="M19" s="29"/>
      <c r="N19" s="29"/>
      <c r="O19" s="29">
        <v>2</v>
      </c>
      <c r="P19" s="29"/>
      <c r="Q19" s="29">
        <v>2</v>
      </c>
    </row>
    <row r="20" spans="2:17" hidden="1">
      <c r="B20" s="28" t="s">
        <v>6</v>
      </c>
      <c r="C20" s="29">
        <v>1</v>
      </c>
      <c r="L20" s="27" t="s">
        <v>10</v>
      </c>
      <c r="M20" s="29"/>
      <c r="N20" s="29"/>
      <c r="O20" s="29"/>
      <c r="P20" s="29">
        <v>1</v>
      </c>
      <c r="Q20" s="29">
        <v>1</v>
      </c>
    </row>
    <row r="21" spans="2:17" hidden="1">
      <c r="B21" s="27" t="s">
        <v>10</v>
      </c>
      <c r="C21" s="29">
        <v>4</v>
      </c>
      <c r="L21" s="28" t="s">
        <v>11</v>
      </c>
      <c r="M21" s="29"/>
      <c r="N21" s="29"/>
      <c r="O21" s="29"/>
      <c r="P21" s="29">
        <v>1</v>
      </c>
      <c r="Q21" s="29">
        <v>1</v>
      </c>
    </row>
    <row r="22" spans="2:17" hidden="1">
      <c r="B22" s="28" t="s">
        <v>11</v>
      </c>
      <c r="C22" s="29">
        <v>4</v>
      </c>
      <c r="L22" s="27" t="s">
        <v>39</v>
      </c>
      <c r="M22" s="29">
        <v>2</v>
      </c>
      <c r="N22" s="29">
        <v>1</v>
      </c>
      <c r="O22" s="29">
        <v>2</v>
      </c>
      <c r="P22" s="29">
        <v>1</v>
      </c>
      <c r="Q22" s="29">
        <v>6</v>
      </c>
    </row>
    <row r="23" spans="2:17" hidden="1">
      <c r="B23" s="27" t="s">
        <v>39</v>
      </c>
      <c r="C23" s="29">
        <v>6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Y88"/>
  <sheetViews>
    <sheetView tabSelected="1" workbookViewId="0">
      <selection activeCell="I15" sqref="I15"/>
    </sheetView>
  </sheetViews>
  <sheetFormatPr defaultRowHeight="15"/>
  <cols>
    <col min="13" max="13" width="9.28515625" bestFit="1" customWidth="1"/>
    <col min="15" max="15" width="20.5703125" bestFit="1" customWidth="1"/>
  </cols>
  <sheetData>
    <row r="1" spans="1:25"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</row>
    <row r="2" spans="1:25">
      <c r="A2" s="14" t="s">
        <v>0</v>
      </c>
      <c r="B2" s="4" t="s">
        <v>12</v>
      </c>
      <c r="C2" s="5" t="s">
        <v>22</v>
      </c>
      <c r="D2" s="5" t="s">
        <v>21</v>
      </c>
      <c r="E2" s="5" t="s">
        <v>2</v>
      </c>
      <c r="F2" s="19" t="s">
        <v>35</v>
      </c>
      <c r="G2" s="6" t="s">
        <v>36</v>
      </c>
      <c r="H2" s="41" t="s">
        <v>13</v>
      </c>
      <c r="I2" s="41" t="s">
        <v>14</v>
      </c>
      <c r="J2" s="41" t="s">
        <v>15</v>
      </c>
      <c r="K2" s="41" t="s">
        <v>16</v>
      </c>
      <c r="L2" s="41" t="s">
        <v>17</v>
      </c>
      <c r="M2" s="19" t="s">
        <v>18</v>
      </c>
      <c r="N2" s="25" t="s">
        <v>19</v>
      </c>
      <c r="O2" s="19" t="s">
        <v>49</v>
      </c>
      <c r="P2" s="6" t="s">
        <v>20</v>
      </c>
      <c r="Q2" s="23" t="s">
        <v>23</v>
      </c>
      <c r="R2" s="23" t="s">
        <v>50</v>
      </c>
      <c r="S2" s="39" t="s">
        <v>31</v>
      </c>
      <c r="T2" s="40" t="s">
        <v>33</v>
      </c>
      <c r="U2" s="23" t="s">
        <v>32</v>
      </c>
    </row>
    <row r="3" spans="1:25">
      <c r="A3" s="2">
        <v>3</v>
      </c>
      <c r="B3" s="2" t="s">
        <v>30</v>
      </c>
      <c r="C3" s="8" t="s">
        <v>25</v>
      </c>
      <c r="D3" s="2" t="s">
        <v>27</v>
      </c>
      <c r="E3" s="2" t="s">
        <v>43</v>
      </c>
      <c r="F3" s="9" t="str">
        <f>VLOOKUP(A3,JOB_LISTING!B:E,4,0)</f>
        <v>Manager</v>
      </c>
      <c r="G3" s="9" t="str">
        <f>VLOOKUP(A3,JOB_LISTING!B:D,3,0)</f>
        <v>Finance</v>
      </c>
      <c r="H3" s="18" t="s">
        <v>28</v>
      </c>
      <c r="I3" s="2" t="s">
        <v>29</v>
      </c>
      <c r="J3" s="2">
        <v>15</v>
      </c>
      <c r="K3" s="2">
        <v>5</v>
      </c>
      <c r="L3" s="17">
        <v>34311</v>
      </c>
      <c r="M3" s="17">
        <v>36505</v>
      </c>
      <c r="N3" s="2"/>
      <c r="O3" s="11" t="str">
        <f>CONCATENATE(G3,"-",F3)</f>
        <v>Finance-Manager</v>
      </c>
      <c r="P3" s="2">
        <v>10</v>
      </c>
      <c r="Q3" s="15">
        <f>COUNTIF(G:G,G3)</f>
        <v>4</v>
      </c>
      <c r="R3" s="15">
        <f>COUNTIF(F:F,F3)</f>
        <v>3</v>
      </c>
      <c r="S3" s="15">
        <f>J3*K3</f>
        <v>75</v>
      </c>
      <c r="T3" s="15">
        <f>RANK(R3,R3:R8)</f>
        <v>1</v>
      </c>
      <c r="U3" s="11">
        <f>RANK(S3,S:S)</f>
        <v>4</v>
      </c>
    </row>
    <row r="4" spans="1:25">
      <c r="A4" s="10">
        <v>2</v>
      </c>
      <c r="B4" s="2" t="s">
        <v>24</v>
      </c>
      <c r="C4" s="8" t="s">
        <v>42</v>
      </c>
      <c r="D4" s="2" t="s">
        <v>26</v>
      </c>
      <c r="E4" s="2" t="s">
        <v>43</v>
      </c>
      <c r="F4" s="9" t="str">
        <f>VLOOKUP(A4,JOB_LISTING!B:E,4,0)</f>
        <v>VP</v>
      </c>
      <c r="G4" s="9" t="str">
        <f>VLOOKUP(A4,JOB_LISTING!B:D,3,0)</f>
        <v>Finance</v>
      </c>
      <c r="H4" s="18" t="s">
        <v>28</v>
      </c>
      <c r="I4" s="2" t="s">
        <v>29</v>
      </c>
      <c r="J4" s="10">
        <v>30</v>
      </c>
      <c r="K4" s="10">
        <v>7</v>
      </c>
      <c r="L4" s="17">
        <v>43900</v>
      </c>
      <c r="M4" s="17">
        <v>43910</v>
      </c>
      <c r="N4" s="10"/>
      <c r="O4" s="11" t="str">
        <f t="shared" ref="O4:O8" si="0">CONCATENATE(G4,"-",F4)</f>
        <v>Finance-VP</v>
      </c>
      <c r="P4" s="10">
        <v>10</v>
      </c>
      <c r="Q4" s="15">
        <f t="shared" ref="Q4:Q8" si="1">COUNTIF(G:G,G4)</f>
        <v>4</v>
      </c>
      <c r="R4" s="15">
        <f t="shared" ref="R4:R8" si="2">COUNTIF(F:F,F4)</f>
        <v>1</v>
      </c>
      <c r="S4" s="15">
        <f t="shared" ref="S4:S8" si="3">J4*K4</f>
        <v>210</v>
      </c>
      <c r="T4" s="15">
        <f t="shared" ref="T4:T8" si="4">RANK(R4,R4:R9)</f>
        <v>3</v>
      </c>
      <c r="U4" s="11">
        <f t="shared" ref="U4:U8" si="5">RANK(S4,S:S)</f>
        <v>2</v>
      </c>
    </row>
    <row r="5" spans="1:25">
      <c r="A5" s="10">
        <v>3</v>
      </c>
      <c r="B5" s="2" t="s">
        <v>24</v>
      </c>
      <c r="C5" s="8" t="s">
        <v>41</v>
      </c>
      <c r="D5" s="2" t="s">
        <v>27</v>
      </c>
      <c r="E5" s="2" t="s">
        <v>43</v>
      </c>
      <c r="F5" s="9" t="str">
        <f>VLOOKUP(A5,JOB_LISTING!B:E,4,0)</f>
        <v>Manager</v>
      </c>
      <c r="G5" s="9" t="str">
        <f>VLOOKUP(A5,JOB_LISTING!B:D,3,0)</f>
        <v>Finance</v>
      </c>
      <c r="H5" s="18" t="s">
        <v>28</v>
      </c>
      <c r="I5" s="2" t="s">
        <v>29</v>
      </c>
      <c r="J5" s="10">
        <v>50</v>
      </c>
      <c r="K5" s="10">
        <v>5</v>
      </c>
      <c r="L5" s="17">
        <v>43900</v>
      </c>
      <c r="M5" s="17">
        <v>44039</v>
      </c>
      <c r="N5" s="10"/>
      <c r="O5" s="11" t="str">
        <f t="shared" si="0"/>
        <v>Finance-Manager</v>
      </c>
      <c r="P5" s="10">
        <v>10</v>
      </c>
      <c r="Q5" s="15">
        <f t="shared" si="1"/>
        <v>4</v>
      </c>
      <c r="R5" s="15">
        <f t="shared" si="2"/>
        <v>3</v>
      </c>
      <c r="S5" s="15">
        <f t="shared" si="3"/>
        <v>250</v>
      </c>
      <c r="T5" s="15">
        <f t="shared" si="4"/>
        <v>1</v>
      </c>
      <c r="U5" s="11">
        <f t="shared" si="5"/>
        <v>1</v>
      </c>
    </row>
    <row r="6" spans="1:25">
      <c r="A6" s="10">
        <v>7</v>
      </c>
      <c r="B6" s="2" t="s">
        <v>30</v>
      </c>
      <c r="C6" s="8" t="s">
        <v>42</v>
      </c>
      <c r="D6" s="2" t="s">
        <v>27</v>
      </c>
      <c r="E6" s="2" t="s">
        <v>5</v>
      </c>
      <c r="F6" s="9" t="str">
        <f>VLOOKUP(A6,JOB_LISTING!B:E,4,0)</f>
        <v>Executive</v>
      </c>
      <c r="G6" s="9" t="str">
        <f>VLOOKUP(A6,JOB_LISTING!B:D,3,0)</f>
        <v>Sales</v>
      </c>
      <c r="H6" s="18" t="s">
        <v>28</v>
      </c>
      <c r="I6" s="2" t="s">
        <v>29</v>
      </c>
      <c r="J6" s="10">
        <v>11</v>
      </c>
      <c r="K6" s="10">
        <v>4</v>
      </c>
      <c r="L6" s="17">
        <v>34311</v>
      </c>
      <c r="M6" s="17">
        <v>36137</v>
      </c>
      <c r="N6" s="10"/>
      <c r="O6" s="11" t="str">
        <f t="shared" si="0"/>
        <v>Sales-Executive</v>
      </c>
      <c r="P6" s="10">
        <v>10</v>
      </c>
      <c r="Q6" s="15">
        <f t="shared" si="1"/>
        <v>1</v>
      </c>
      <c r="R6" s="15">
        <f t="shared" si="2"/>
        <v>1</v>
      </c>
      <c r="S6" s="15">
        <f t="shared" si="3"/>
        <v>44</v>
      </c>
      <c r="T6" s="15">
        <f t="shared" si="4"/>
        <v>2</v>
      </c>
      <c r="U6" s="11">
        <f t="shared" si="5"/>
        <v>6</v>
      </c>
    </row>
    <row r="7" spans="1:25">
      <c r="A7" s="10">
        <v>4</v>
      </c>
      <c r="B7" s="2" t="s">
        <v>30</v>
      </c>
      <c r="C7" s="8" t="s">
        <v>25</v>
      </c>
      <c r="D7" s="2" t="s">
        <v>27</v>
      </c>
      <c r="E7" s="2" t="s">
        <v>5</v>
      </c>
      <c r="F7" s="9" t="str">
        <f>VLOOKUP(A7,JOB_LISTING!B:E,4,0)</f>
        <v>Manager</v>
      </c>
      <c r="G7" s="9" t="str">
        <f>VLOOKUP(A7,JOB_LISTING!B:D,3,0)</f>
        <v>Finance</v>
      </c>
      <c r="H7" s="18" t="s">
        <v>28</v>
      </c>
      <c r="I7" s="2" t="s">
        <v>29</v>
      </c>
      <c r="J7" s="10">
        <v>15</v>
      </c>
      <c r="K7" s="10">
        <v>5</v>
      </c>
      <c r="L7" s="17">
        <v>43900</v>
      </c>
      <c r="M7" s="17">
        <v>43862</v>
      </c>
      <c r="N7" s="10"/>
      <c r="O7" s="11" t="str">
        <f t="shared" si="0"/>
        <v>Finance-Manager</v>
      </c>
      <c r="P7" s="10">
        <v>10</v>
      </c>
      <c r="Q7" s="15">
        <f t="shared" si="1"/>
        <v>4</v>
      </c>
      <c r="R7" s="15">
        <f t="shared" si="2"/>
        <v>3</v>
      </c>
      <c r="S7" s="15">
        <f t="shared" si="3"/>
        <v>75</v>
      </c>
      <c r="T7" s="15">
        <f t="shared" si="4"/>
        <v>1</v>
      </c>
      <c r="U7" s="11">
        <f t="shared" si="5"/>
        <v>4</v>
      </c>
    </row>
    <row r="8" spans="1:25">
      <c r="A8" s="10">
        <v>1</v>
      </c>
      <c r="B8" s="2" t="s">
        <v>30</v>
      </c>
      <c r="C8" s="8" t="s">
        <v>25</v>
      </c>
      <c r="D8" s="2" t="s">
        <v>27</v>
      </c>
      <c r="E8" s="2" t="s">
        <v>5</v>
      </c>
      <c r="F8" s="9" t="str">
        <f>VLOOKUP(A8,JOB_LISTING!B:E,4,0)</f>
        <v>Sr Manager</v>
      </c>
      <c r="G8" s="9" t="str">
        <f>VLOOKUP(A8,JOB_LISTING!B:D,3,0)</f>
        <v>Operations</v>
      </c>
      <c r="H8" s="18" t="s">
        <v>28</v>
      </c>
      <c r="I8" s="2" t="s">
        <v>29</v>
      </c>
      <c r="J8" s="10">
        <v>25</v>
      </c>
      <c r="K8" s="10">
        <v>6</v>
      </c>
      <c r="L8" s="17">
        <v>43900</v>
      </c>
      <c r="M8" s="17">
        <v>43961</v>
      </c>
      <c r="N8" s="10"/>
      <c r="O8" s="11" t="str">
        <f t="shared" si="0"/>
        <v>Operations-Sr Manager</v>
      </c>
      <c r="P8" s="10">
        <v>10</v>
      </c>
      <c r="Q8" s="15">
        <f t="shared" si="1"/>
        <v>1</v>
      </c>
      <c r="R8" s="15">
        <f t="shared" si="2"/>
        <v>1</v>
      </c>
      <c r="S8" s="15">
        <f t="shared" si="3"/>
        <v>150</v>
      </c>
      <c r="T8" s="15">
        <f t="shared" si="4"/>
        <v>1</v>
      </c>
      <c r="U8" s="11">
        <f t="shared" si="5"/>
        <v>3</v>
      </c>
    </row>
    <row r="9" spans="1:25">
      <c r="A9" s="10"/>
      <c r="B9" s="10"/>
      <c r="C9" s="12"/>
      <c r="D9" s="12"/>
      <c r="E9" s="12"/>
      <c r="F9" s="15"/>
      <c r="G9" s="15"/>
      <c r="H9" s="10"/>
      <c r="I9" s="10"/>
      <c r="J9" s="10"/>
      <c r="K9" s="10"/>
      <c r="L9" s="10"/>
      <c r="M9" s="16"/>
      <c r="N9" s="10"/>
      <c r="O9" s="11"/>
      <c r="P9" s="10"/>
      <c r="Q9" s="15"/>
      <c r="R9" s="15"/>
      <c r="S9" s="15"/>
      <c r="T9" s="15"/>
      <c r="U9" s="11"/>
    </row>
    <row r="10" spans="1: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4"/>
    </row>
    <row r="11" spans="1: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4"/>
    </row>
    <row r="12" spans="1: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4"/>
      <c r="W12" s="35" t="s">
        <v>34</v>
      </c>
      <c r="X12" s="35" t="s">
        <v>3</v>
      </c>
    </row>
    <row r="13" spans="1: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4"/>
      <c r="W13" s="12" t="s">
        <v>5</v>
      </c>
      <c r="X13" s="12" t="s">
        <v>6</v>
      </c>
      <c r="Y13" t="s">
        <v>44</v>
      </c>
    </row>
    <row r="14" spans="1: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4"/>
      <c r="W14" s="2" t="s">
        <v>7</v>
      </c>
      <c r="X14" s="2" t="s">
        <v>8</v>
      </c>
      <c r="Y14" t="s">
        <v>45</v>
      </c>
    </row>
    <row r="15" spans="1: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4"/>
      <c r="W15" s="12" t="s">
        <v>7</v>
      </c>
      <c r="X15" s="12" t="s">
        <v>9</v>
      </c>
      <c r="Y15" t="s">
        <v>46</v>
      </c>
    </row>
    <row r="16" spans="1: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4"/>
      <c r="W16" s="12" t="s">
        <v>10</v>
      </c>
      <c r="X16" s="12" t="s">
        <v>11</v>
      </c>
      <c r="Y16" t="s">
        <v>47</v>
      </c>
    </row>
    <row r="17" spans="1: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4"/>
      <c r="W17" s="2" t="s">
        <v>10</v>
      </c>
      <c r="X17" s="2" t="s">
        <v>9</v>
      </c>
      <c r="Y17" t="s">
        <v>48</v>
      </c>
    </row>
    <row r="18" spans="1: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4"/>
    </row>
    <row r="19" spans="1: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4"/>
    </row>
    <row r="20" spans="1: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4"/>
    </row>
    <row r="21" spans="1: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4"/>
    </row>
    <row r="22" spans="1: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4"/>
    </row>
    <row r="23" spans="1: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4"/>
    </row>
    <row r="24" spans="1: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4"/>
    </row>
    <row r="25" spans="1: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4"/>
    </row>
    <row r="26" spans="1: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4"/>
    </row>
    <row r="27" spans="1: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4"/>
    </row>
    <row r="28" spans="1: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4"/>
    </row>
    <row r="29" spans="1: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4"/>
    </row>
    <row r="30" spans="1: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4"/>
    </row>
    <row r="31" spans="1: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4"/>
    </row>
    <row r="32" spans="1: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4"/>
    </row>
    <row r="33" spans="1:21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4"/>
    </row>
    <row r="34" spans="1:21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4"/>
    </row>
    <row r="35" spans="1:21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4"/>
    </row>
    <row r="36" spans="1:21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4"/>
    </row>
    <row r="37" spans="1:21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4"/>
    </row>
    <row r="38" spans="1:21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4"/>
    </row>
    <row r="39" spans="1:21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4"/>
    </row>
    <row r="40" spans="1:21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4"/>
    </row>
    <row r="41" spans="1:21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4"/>
    </row>
    <row r="42" spans="1:21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4"/>
    </row>
    <row r="43" spans="1:21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4"/>
    </row>
    <row r="44" spans="1:21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4"/>
    </row>
    <row r="45" spans="1:21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4"/>
    </row>
    <row r="46" spans="1:21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4"/>
    </row>
    <row r="47" spans="1:21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4"/>
    </row>
    <row r="48" spans="1:21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4"/>
    </row>
    <row r="49" spans="1:21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4"/>
    </row>
    <row r="50" spans="1:21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4"/>
    </row>
    <row r="51" spans="1:21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4"/>
    </row>
    <row r="52" spans="1:21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4"/>
    </row>
    <row r="53" spans="1:21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4"/>
    </row>
    <row r="54" spans="1:21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4"/>
    </row>
    <row r="55" spans="1:21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4"/>
    </row>
    <row r="56" spans="1:21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4"/>
    </row>
    <row r="57" spans="1:21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4"/>
    </row>
    <row r="58" spans="1:21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4"/>
    </row>
    <row r="59" spans="1:21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4"/>
    </row>
    <row r="60" spans="1:21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4"/>
    </row>
    <row r="61" spans="1:21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4"/>
    </row>
    <row r="62" spans="1:21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4"/>
    </row>
    <row r="63" spans="1:21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4"/>
    </row>
    <row r="64" spans="1:21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4"/>
    </row>
    <row r="65" spans="1:21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4"/>
    </row>
    <row r="66" spans="1:21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4"/>
    </row>
    <row r="67" spans="1:21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4"/>
    </row>
    <row r="68" spans="1:21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4"/>
    </row>
    <row r="69" spans="1:21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4"/>
    </row>
    <row r="70" spans="1:21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4"/>
    </row>
    <row r="71" spans="1:21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4"/>
    </row>
    <row r="72" spans="1:21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4"/>
    </row>
    <row r="73" spans="1:21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4"/>
    </row>
    <row r="74" spans="1:21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4"/>
    </row>
    <row r="75" spans="1:21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4"/>
    </row>
    <row r="76" spans="1:21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4"/>
    </row>
    <row r="77" spans="1:21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4"/>
    </row>
    <row r="78" spans="1:21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4"/>
    </row>
    <row r="79" spans="1:21">
      <c r="C79" s="36"/>
      <c r="D79" s="36"/>
      <c r="E79" s="36"/>
      <c r="F79" s="36"/>
      <c r="G79" s="36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</row>
    <row r="80" spans="1:21"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</row>
    <row r="81" spans="1:21"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</row>
    <row r="82" spans="1:21">
      <c r="A82" s="30" t="s">
        <v>37</v>
      </c>
      <c r="B82" s="31">
        <v>0.20902777777777778</v>
      </c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32"/>
      <c r="R82" s="32"/>
      <c r="S82" s="32"/>
      <c r="T82" s="32"/>
      <c r="U82" s="32"/>
    </row>
    <row r="83" spans="1:21">
      <c r="A83" s="14" t="s">
        <v>0</v>
      </c>
      <c r="B83" s="14" t="s">
        <v>12</v>
      </c>
      <c r="C83" s="3" t="s">
        <v>22</v>
      </c>
      <c r="D83" s="3" t="s">
        <v>21</v>
      </c>
      <c r="E83" s="3" t="s">
        <v>2</v>
      </c>
      <c r="F83" s="20" t="s">
        <v>35</v>
      </c>
      <c r="G83" s="4" t="s">
        <v>36</v>
      </c>
      <c r="H83" s="24"/>
      <c r="I83" s="24"/>
      <c r="J83" s="24"/>
      <c r="K83" s="24"/>
      <c r="L83" s="24"/>
      <c r="M83" s="24"/>
      <c r="N83" s="24"/>
      <c r="O83" s="24"/>
      <c r="P83" s="24"/>
      <c r="Q83" s="21"/>
      <c r="R83" s="21"/>
    </row>
    <row r="84" spans="1:21">
      <c r="A84" s="12">
        <v>1</v>
      </c>
      <c r="B84" s="12" t="s">
        <v>30</v>
      </c>
      <c r="C84" s="37" t="s">
        <v>25</v>
      </c>
      <c r="D84" s="12" t="s">
        <v>27</v>
      </c>
      <c r="E84" s="12" t="s">
        <v>43</v>
      </c>
      <c r="F84" s="2" t="s">
        <v>10</v>
      </c>
      <c r="G84" s="2" t="s">
        <v>11</v>
      </c>
      <c r="H84" s="13"/>
      <c r="I84" s="13"/>
      <c r="J84" s="13"/>
      <c r="K84" s="13"/>
      <c r="L84" s="13"/>
      <c r="M84" s="13"/>
      <c r="N84" s="13"/>
      <c r="O84" s="24"/>
      <c r="P84" s="24"/>
      <c r="Q84" s="24"/>
      <c r="R84" s="24"/>
    </row>
    <row r="85" spans="1:21">
      <c r="A85" s="10">
        <v>2</v>
      </c>
      <c r="B85" s="2" t="s">
        <v>24</v>
      </c>
      <c r="C85" s="38" t="s">
        <v>42</v>
      </c>
      <c r="D85" s="2" t="s">
        <v>26</v>
      </c>
      <c r="E85" s="2" t="s">
        <v>43</v>
      </c>
      <c r="F85" s="12" t="s">
        <v>10</v>
      </c>
      <c r="G85" s="12" t="s">
        <v>11</v>
      </c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</row>
    <row r="86" spans="1:21">
      <c r="A86" s="10">
        <v>3</v>
      </c>
      <c r="B86" s="12" t="s">
        <v>24</v>
      </c>
      <c r="C86" s="37" t="s">
        <v>41</v>
      </c>
      <c r="D86" s="12" t="s">
        <v>27</v>
      </c>
      <c r="E86" s="12" t="s">
        <v>43</v>
      </c>
      <c r="F86" s="22" t="s">
        <v>10</v>
      </c>
      <c r="G86" s="22" t="s">
        <v>9</v>
      </c>
      <c r="H86" s="24"/>
      <c r="I86" s="24"/>
      <c r="J86" s="24"/>
      <c r="K86" s="24"/>
      <c r="L86" s="24"/>
      <c r="M86" s="13"/>
      <c r="N86" s="13"/>
      <c r="O86" s="13"/>
      <c r="P86" s="13"/>
      <c r="Q86" s="13"/>
      <c r="R86" s="13"/>
    </row>
    <row r="87" spans="1:21">
      <c r="A87" s="10">
        <v>7</v>
      </c>
      <c r="B87" s="2" t="s">
        <v>30</v>
      </c>
      <c r="C87" s="38" t="s">
        <v>42</v>
      </c>
      <c r="D87" s="2" t="s">
        <v>27</v>
      </c>
      <c r="E87" s="2" t="s">
        <v>5</v>
      </c>
      <c r="F87" s="2" t="s">
        <v>10</v>
      </c>
      <c r="G87" s="2" t="s">
        <v>11</v>
      </c>
      <c r="H87" s="13"/>
      <c r="I87" s="13"/>
      <c r="J87" s="13"/>
      <c r="K87" s="13"/>
      <c r="L87" s="13"/>
      <c r="M87" s="24"/>
      <c r="N87" s="24"/>
      <c r="O87" s="24"/>
      <c r="P87" s="24"/>
      <c r="Q87" s="24"/>
      <c r="R87" s="24"/>
    </row>
    <row r="88" spans="1:21">
      <c r="A88" s="10">
        <v>4</v>
      </c>
      <c r="B88" s="12" t="s">
        <v>30</v>
      </c>
      <c r="C88" s="37" t="s">
        <v>25</v>
      </c>
      <c r="D88" s="12" t="s">
        <v>27</v>
      </c>
      <c r="E88" s="12" t="s">
        <v>5</v>
      </c>
      <c r="F88" s="12" t="s">
        <v>10</v>
      </c>
      <c r="G88" s="12" t="s">
        <v>11</v>
      </c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JOB_LISTING</vt:lpstr>
      <vt:lpstr>INTERVIEWS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2020-03-10T13:47:35Z</dcterms:created>
  <dcterms:modified xsi:type="dcterms:W3CDTF">2020-03-10T14:08:27Z</dcterms:modified>
</cp:coreProperties>
</file>